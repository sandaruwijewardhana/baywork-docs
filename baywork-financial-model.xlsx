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6" width="15" customWidth="1"/>
  </cols>
  <sheetData>
    <row r="1">
      <c r="A1" s="3" t="inlineStr">
        <is>
          <t xml:space="preserve">BayWork — Financial Model (edit yellow inputs; everything recalculates)</t>
        </is>
      </c>
    </row>
    <row r="3">
      <c r="A3" s="3" t="inlineStr">
        <is>
          <t xml:space="preserve">ASSUMPTIONS — INPUTS (edit these)</t>
        </is>
      </c>
    </row>
    <row r="4">
      <c r="A4" t="inlineStr">
        <is>
          <t xml:space="preserve">FX (LKR per USD)</t>
        </is>
      </c>
      <c r="B4" s="1">
        <v>300</v>
      </c>
    </row>
    <row r="5">
      <c r="A5" t="inlineStr">
        <is>
          <t xml:space="preserve">Customers</t>
        </is>
      </c>
      <c r="B5" s="1">
        <v>120</v>
      </c>
      <c r="C5" s="1">
        <v>400</v>
      </c>
      <c r="D5" s="1">
        <v>850</v>
      </c>
      <c r="E5" s="1">
        <v>1400</v>
      </c>
      <c r="F5" s="1">
        <v>2000</v>
      </c>
    </row>
    <row r="6">
      <c r="A6" t="inlineStr">
        <is>
          <t xml:space="preserve">ARPU (LKR / month)</t>
        </is>
      </c>
      <c r="B6" s="1">
        <v>4600</v>
      </c>
      <c r="C6" s="1">
        <v>5000</v>
      </c>
      <c r="D6" s="1">
        <v>5250</v>
      </c>
      <c r="E6" s="1">
        <v>5450</v>
      </c>
      <c r="F6" s="1">
        <v>5556</v>
      </c>
    </row>
    <row r="7">
      <c r="A7" t="inlineStr">
        <is>
          <t xml:space="preserve">Founder salary / month</t>
        </is>
      </c>
      <c r="B7" s="1">
        <v>75000</v>
      </c>
      <c r="C7" s="1">
        <v>90000</v>
      </c>
      <c r="D7" s="1">
        <v>120000</v>
      </c>
      <c r="E7" s="1">
        <v>160000</v>
      </c>
      <c r="F7" s="1">
        <v>200000</v>
      </c>
    </row>
    <row r="8">
      <c r="A8" t="inlineStr">
        <is>
          <t xml:space="preserve"># Sales staff</t>
        </is>
      </c>
      <c r="B8">
        <v>1</v>
      </c>
      <c r="C8">
        <v>2</v>
      </c>
      <c r="D8">
        <v>3</v>
      </c>
      <c r="E8">
        <v>4</v>
      </c>
      <c r="F8">
        <v>5</v>
      </c>
    </row>
    <row r="9">
      <c r="A9" t="inlineStr">
        <is>
          <t xml:space="preserve">Sales salary / month (each)</t>
        </is>
      </c>
      <c r="B9" s="1">
        <v>55000</v>
      </c>
      <c r="C9" s="1">
        <v>58000</v>
      </c>
      <c r="D9" s="1">
        <v>62000</v>
      </c>
      <c r="E9" s="1">
        <v>66000</v>
      </c>
      <c r="F9" s="1">
        <v>70000</v>
      </c>
    </row>
    <row r="10">
      <c r="A10" t="inlineStr">
        <is>
          <t xml:space="preserve"># Support staff</t>
        </is>
      </c>
      <c r="B10">
        <v>0</v>
      </c>
      <c r="C10">
        <v>1</v>
      </c>
      <c r="D10">
        <v>2</v>
      </c>
      <c r="E10">
        <v>3</v>
      </c>
      <c r="F10">
        <v>4</v>
      </c>
    </row>
    <row r="11">
      <c r="A11" t="inlineStr">
        <is>
          <t xml:space="preserve">Support salary / month (each)</t>
        </is>
      </c>
      <c r="B11" s="1">
        <v>0</v>
      </c>
      <c r="C11" s="1">
        <v>42000</v>
      </c>
      <c r="D11" s="1">
        <v>45000</v>
      </c>
      <c r="E11" s="1">
        <v>48000</v>
      </c>
      <c r="F11" s="1">
        <v>52000</v>
      </c>
    </row>
    <row r="12">
      <c r="A12" t="inlineStr">
        <is>
          <t xml:space="preserve"># Developers</t>
        </is>
      </c>
      <c r="B12">
        <v>0</v>
      </c>
      <c r="C12">
        <v>0</v>
      </c>
      <c r="D12">
        <v>1</v>
      </c>
      <c r="E12">
        <v>1</v>
      </c>
      <c r="F12">
        <v>2</v>
      </c>
    </row>
    <row r="13">
      <c r="A13" t="inlineStr">
        <is>
          <t xml:space="preserve">Developer salary / month (each)</t>
        </is>
      </c>
      <c r="B13" s="1">
        <v>0</v>
      </c>
      <c r="C13" s="1">
        <v>0</v>
      </c>
      <c r="D13" s="1">
        <v>85000</v>
      </c>
      <c r="E13" s="1">
        <v>90000</v>
      </c>
      <c r="F13" s="1">
        <v>95000</v>
      </c>
    </row>
    <row r="14">
      <c r="A14" t="inlineStr">
        <is>
          <t xml:space="preserve"># Ops / manager</t>
        </is>
      </c>
      <c r="B14">
        <v>0</v>
      </c>
      <c r="C14">
        <v>0</v>
      </c>
      <c r="D14">
        <v>0</v>
      </c>
      <c r="E14">
        <v>0</v>
      </c>
      <c r="F14">
        <v>1</v>
      </c>
    </row>
    <row r="15">
      <c r="A15" t="inlineStr">
        <is>
          <t xml:space="preserve">Ops salary / month (each)</t>
        </is>
      </c>
      <c r="B15" s="1">
        <v>0</v>
      </c>
      <c r="C15" s="1">
        <v>0</v>
      </c>
      <c r="D15" s="1">
        <v>0</v>
      </c>
      <c r="E15" s="1">
        <v>0</v>
      </c>
      <c r="F15" s="1">
        <v>90000</v>
      </c>
    </row>
    <row r="16">
      <c r="A16" t="inlineStr">
        <is>
          <t xml:space="preserve">Cloud / hosting (USD / month)</t>
        </is>
      </c>
      <c r="B16" s="1">
        <v>45</v>
      </c>
      <c r="C16" s="1">
        <v>80</v>
      </c>
      <c r="D16" s="1">
        <v>250</v>
      </c>
      <c r="E16" s="1">
        <v>500</v>
      </c>
      <c r="F16" s="1">
        <v>750</v>
      </c>
    </row>
    <row r="17">
      <c r="A17" t="inlineStr">
        <is>
          <t xml:space="preserve">Domain + DNS (LKR / year)</t>
        </is>
      </c>
      <c r="B17" s="1">
        <v>10000</v>
      </c>
      <c r="C17" s="1">
        <v>10000</v>
      </c>
      <c r="D17" s="1">
        <v>10000</v>
      </c>
      <c r="E17" s="1">
        <v>10000</v>
      </c>
      <c r="F17" s="1">
        <v>10000</v>
      </c>
    </row>
    <row r="18">
      <c r="A18" t="inlineStr">
        <is>
          <t xml:space="preserve">Business email (USD / month)</t>
        </is>
      </c>
      <c r="B18" s="1">
        <v>0</v>
      </c>
      <c r="C18" s="1">
        <v>0</v>
      </c>
      <c r="D18" s="1">
        <v>30</v>
      </c>
      <c r="E18" s="1">
        <v>48</v>
      </c>
      <c r="F18" s="1">
        <v>72</v>
      </c>
    </row>
    <row r="19">
      <c r="A19" t="inlineStr">
        <is>
          <t xml:space="preserve">Monitoring + dev tools (USD / month)</t>
        </is>
      </c>
      <c r="B19" s="1">
        <v>0</v>
      </c>
      <c r="C19" s="1">
        <v>0</v>
      </c>
      <c r="D19" s="1">
        <v>50</v>
      </c>
      <c r="E19" s="1">
        <v>80</v>
      </c>
      <c r="F19" s="1">
        <v>120</v>
      </c>
    </row>
    <row r="20">
      <c r="A20" t="inlineStr">
        <is>
          <t xml:space="preserve">Transactional email (USD / month)</t>
        </is>
      </c>
      <c r="B20" s="1">
        <v>0</v>
      </c>
      <c r="C20" s="1">
        <v>0</v>
      </c>
      <c r="D20" s="1">
        <v>10</v>
      </c>
      <c r="E20" s="1">
        <v>18</v>
      </c>
      <c r="F20" s="1">
        <v>25</v>
      </c>
    </row>
    <row r="21">
      <c r="A21" t="inlineStr">
        <is>
          <t xml:space="preserve">SMS per customer / month</t>
        </is>
      </c>
      <c r="B21" s="1">
        <v>150</v>
      </c>
    </row>
    <row r="22">
      <c r="A22" t="inlineStr">
        <is>
          <t xml:space="preserve">SMS wholesale rate (LKR / msg)</t>
        </is>
      </c>
      <c r="B22">
        <v>0.5</v>
      </c>
    </row>
    <row r="23">
      <c r="A23" t="inlineStr">
        <is>
          <t xml:space="preserve">Payment gateway fee (% of revenue)</t>
        </is>
      </c>
      <c r="B23" s="2">
        <v>0.02</v>
      </c>
    </row>
    <row r="24">
      <c r="A24" t="inlineStr">
        <is>
          <t xml:space="preserve">Admin: secretary+accounting (LKR/yr)</t>
        </is>
      </c>
      <c r="B24" s="1">
        <v>120000</v>
      </c>
      <c r="C24" s="1">
        <v>180000</v>
      </c>
      <c r="D24" s="1">
        <v>280000</v>
      </c>
      <c r="E24" s="1">
        <v>380000</v>
      </c>
      <c r="F24" s="1">
        <v>480000</v>
      </c>
    </row>
    <row r="25">
      <c r="A25" t="inlineStr">
        <is>
          <t xml:space="preserve">Sales &amp; marketing non-salary (LKR/yr)</t>
        </is>
      </c>
      <c r="B25" s="1">
        <v>400000</v>
      </c>
      <c r="C25" s="1">
        <v>800000</v>
      </c>
      <c r="D25" s="1">
        <v>1400000</v>
      </c>
      <c r="E25" s="1">
        <v>2200000</v>
      </c>
      <c r="F25" s="1">
        <v>3000000</v>
      </c>
    </row>
    <row r="27">
      <c r="A27" s="3" t="inlineStr">
        <is>
          <t xml:space="preserve">REVENUE (computed)</t>
        </is>
      </c>
    </row>
    <row r="28">
      <c r="A28" t="inlineStr">
        <is>
          <t xml:space="preserve">MRR (LKR)</t>
        </is>
      </c>
      <c r="B28" s="1">
        <f>B5*B6</f>
        <v>552000</v>
      </c>
      <c r="C28" s="1">
        <f>C5*C6</f>
        <v>2000000</v>
      </c>
      <c r="D28" s="1">
        <f>D5*D6</f>
        <v>4462500</v>
      </c>
      <c r="E28" s="1">
        <f>E5*E6</f>
        <v>7630000</v>
      </c>
      <c r="F28" s="1">
        <f>F5*F6</f>
        <v>11112000</v>
      </c>
    </row>
    <row r="29">
      <c r="A29" t="inlineStr">
        <is>
          <t xml:space="preserve">ARR run-rate (LKR)</t>
        </is>
      </c>
      <c r="B29" s="1">
        <f>B28*12</f>
        <v>6624000</v>
      </c>
      <c r="C29" s="1">
        <f>C28*12</f>
        <v>24000000</v>
      </c>
      <c r="D29" s="1">
        <f>D28*12</f>
        <v>53550000</v>
      </c>
      <c r="E29" s="1">
        <f>E28*12</f>
        <v>91560000</v>
      </c>
      <c r="F29" s="1">
        <f>F28*12</f>
        <v>133344000</v>
      </c>
    </row>
    <row r="30">
      <c r="A30" t="inlineStr">
        <is>
          <t xml:space="preserve">ARR (USD)</t>
        </is>
      </c>
      <c r="B30" s="1">
        <f>B29/$B$4</f>
        <v>22080</v>
      </c>
      <c r="C30" s="1">
        <f>C29/$B$4</f>
        <v>80000</v>
      </c>
      <c r="D30" s="1">
        <f>D29/$B$4</f>
        <v>178500</v>
      </c>
      <c r="E30" s="1">
        <f>E29/$B$4</f>
        <v>305200</v>
      </c>
      <c r="F30" s="1">
        <f>F29/$B$4</f>
        <v>444480</v>
      </c>
    </row>
    <row r="31">
      <c r="A31" t="inlineStr">
        <is>
          <t xml:space="preserve">Recognized revenue (LKR, ramp)</t>
        </is>
      </c>
      <c r="B31" s="1">
        <f>(0+B28)/2*12</f>
        <v>3312000</v>
      </c>
      <c r="C31" s="1">
        <f>(B28+C28)/2*12</f>
        <v>15312000</v>
      </c>
      <c r="D31" s="1">
        <f>(C28+D28)/2*12</f>
        <v>38775000</v>
      </c>
      <c r="E31" s="1">
        <f>(D28+E28)/2*12</f>
        <v>72555000</v>
      </c>
      <c r="F31" s="1">
        <f>(E28+F28)/2*12</f>
        <v>112452000</v>
      </c>
    </row>
    <row r="33">
      <c r="A33" s="3" t="inlineStr">
        <is>
          <t xml:space="preserve">COSTS — annual LKR (computed)</t>
        </is>
      </c>
    </row>
    <row r="34">
      <c r="A34" t="inlineStr">
        <is>
          <t xml:space="preserve">Cloud / hosting</t>
        </is>
      </c>
      <c r="B34" s="1">
        <f>B16*12*$B$4</f>
        <v>162000</v>
      </c>
      <c r="C34" s="1">
        <f>C16*12*$B$4</f>
        <v>288000</v>
      </c>
      <c r="D34" s="1">
        <f>D16*12*$B$4</f>
        <v>900000</v>
      </c>
      <c r="E34" s="1">
        <f>E16*12*$B$4</f>
        <v>1800000</v>
      </c>
      <c r="F34" s="1">
        <f>F16*12*$B$4</f>
        <v>2700000</v>
      </c>
    </row>
    <row r="35">
      <c r="A35" t="inlineStr">
        <is>
          <t xml:space="preserve">Domain + DNS</t>
        </is>
      </c>
      <c r="B35" s="1">
        <f>B17</f>
        <v>10000</v>
      </c>
      <c r="C35" s="1">
        <f>C17</f>
        <v>10000</v>
      </c>
      <c r="D35" s="1">
        <f>D17</f>
        <v>10000</v>
      </c>
      <c r="E35" s="1">
        <f>E17</f>
        <v>10000</v>
      </c>
      <c r="F35" s="1">
        <f>F17</f>
        <v>10000</v>
      </c>
    </row>
    <row r="36">
      <c r="A36" t="inlineStr">
        <is>
          <t xml:space="preserve">Business email</t>
        </is>
      </c>
      <c r="B36" s="1">
        <f>B18*12*$B$4</f>
        <v>0</v>
      </c>
      <c r="C36" s="1">
        <f>C18*12*$B$4</f>
        <v>0</v>
      </c>
      <c r="D36" s="1">
        <f>D18*12*$B$4</f>
        <v>108000</v>
      </c>
      <c r="E36" s="1">
        <f>E18*12*$B$4</f>
        <v>172800</v>
      </c>
      <c r="F36" s="1">
        <f>F18*12*$B$4</f>
        <v>259200</v>
      </c>
    </row>
    <row r="37">
      <c r="A37" t="inlineStr">
        <is>
          <t xml:space="preserve">Monitoring + tools</t>
        </is>
      </c>
      <c r="B37" s="1">
        <f>B19*12*$B$4</f>
        <v>0</v>
      </c>
      <c r="C37" s="1">
        <f>C19*12*$B$4</f>
        <v>0</v>
      </c>
      <c r="D37" s="1">
        <f>D19*12*$B$4</f>
        <v>180000</v>
      </c>
      <c r="E37" s="1">
        <f>E19*12*$B$4</f>
        <v>288000</v>
      </c>
      <c r="F37" s="1">
        <f>F19*12*$B$4</f>
        <v>432000</v>
      </c>
    </row>
    <row r="38">
      <c r="A38" t="inlineStr">
        <is>
          <t xml:space="preserve">Transactional email</t>
        </is>
      </c>
      <c r="B38" s="1">
        <f>B20*12*$B$4</f>
        <v>0</v>
      </c>
      <c r="C38" s="1">
        <f>C20*12*$B$4</f>
        <v>0</v>
      </c>
      <c r="D38" s="1">
        <f>D20*12*$B$4</f>
        <v>36000</v>
      </c>
      <c r="E38" s="1">
        <f>E20*12*$B$4</f>
        <v>64800</v>
      </c>
      <c r="F38" s="1">
        <f>F20*12*$B$4</f>
        <v>90000</v>
      </c>
    </row>
    <row r="39">
      <c r="A39" t="inlineStr">
        <is>
          <t xml:space="preserve">SMS gateway (COGS)</t>
        </is>
      </c>
      <c r="B39" s="1">
        <f>B5*$B$21*$B$22*12</f>
        <v>108000</v>
      </c>
      <c r="C39" s="1">
        <f>C5*$B$21*$B$22*12</f>
        <v>360000</v>
      </c>
      <c r="D39" s="1">
        <f>D5*$B$21*$B$22*12</f>
        <v>765000</v>
      </c>
      <c r="E39" s="1">
        <f>E5*$B$21*$B$22*12</f>
        <v>1260000</v>
      </c>
      <c r="F39" s="1">
        <f>F5*$B$21*$B$22*12</f>
        <v>1800000</v>
      </c>
    </row>
    <row r="40">
      <c r="A40" t="inlineStr">
        <is>
          <t xml:space="preserve">Payment gateway</t>
        </is>
      </c>
      <c r="B40" s="1">
        <f>B31*$B$23</f>
        <v>66240</v>
      </c>
      <c r="C40" s="1">
        <f>C31*$B$23</f>
        <v>306240</v>
      </c>
      <c r="D40" s="1">
        <f>D31*$B$23</f>
        <v>775500</v>
      </c>
      <c r="E40" s="1">
        <f>E31*$B$23</f>
        <v>1451100</v>
      </c>
      <c r="F40" s="1">
        <f>F31*$B$23</f>
        <v>2249040</v>
      </c>
    </row>
    <row r="41">
      <c r="A41" t="inlineStr">
        <is>
          <t xml:space="preserve">Admin</t>
        </is>
      </c>
      <c r="B41" s="1">
        <f>B24</f>
        <v>120000</v>
      </c>
      <c r="C41" s="1">
        <f>C24</f>
        <v>180000</v>
      </c>
      <c r="D41" s="1">
        <f>D24</f>
        <v>280000</v>
      </c>
      <c r="E41" s="1">
        <f>E24</f>
        <v>380000</v>
      </c>
      <c r="F41" s="1">
        <f>F24</f>
        <v>480000</v>
      </c>
    </row>
    <row r="42">
      <c r="A42" t="inlineStr">
        <is>
          <t xml:space="preserve">Tech + Admin subtotal</t>
        </is>
      </c>
      <c r="B42" s="1">
        <f>SUM(B34:B41)</f>
        <v>466240</v>
      </c>
      <c r="C42" s="1">
        <f>SUM(C34:C41)</f>
        <v>1144240</v>
      </c>
      <c r="D42" s="1">
        <f>SUM(D34:D41)</f>
        <v>3054500</v>
      </c>
      <c r="E42" s="1">
        <f>SUM(E34:E41)</f>
        <v>5426700</v>
      </c>
      <c r="F42" s="1">
        <f>SUM(F34:F41)</f>
        <v>8020240</v>
      </c>
    </row>
    <row r="43">
      <c r="A43" t="inlineStr">
        <is>
          <t xml:space="preserve">Founder salary (yr)</t>
        </is>
      </c>
      <c r="B43" s="1">
        <f>B7*12</f>
        <v>900000</v>
      </c>
      <c r="C43" s="1">
        <f>C7*12</f>
        <v>1080000</v>
      </c>
      <c r="D43" s="1">
        <f>D7*12</f>
        <v>1440000</v>
      </c>
      <c r="E43" s="1">
        <f>E7*12</f>
        <v>1920000</v>
      </c>
      <c r="F43" s="1">
        <f>F7*12</f>
        <v>2400000</v>
      </c>
    </row>
    <row r="44">
      <c r="A44" t="inlineStr">
        <is>
          <t xml:space="preserve">Sales salaries (yr)</t>
        </is>
      </c>
      <c r="B44" s="1">
        <f>B8*B9*12</f>
        <v>660000</v>
      </c>
      <c r="C44" s="1">
        <f>C8*C9*12</f>
        <v>1392000</v>
      </c>
      <c r="D44" s="1">
        <f>D8*D9*12</f>
        <v>2232000</v>
      </c>
      <c r="E44" s="1">
        <f>E8*E9*12</f>
        <v>3168000</v>
      </c>
      <c r="F44" s="1">
        <f>F8*F9*12</f>
        <v>4200000</v>
      </c>
    </row>
    <row r="45">
      <c r="A45" t="inlineStr">
        <is>
          <t xml:space="preserve">Support salaries (yr)</t>
        </is>
      </c>
      <c r="B45" s="1">
        <f>B10*B11*12</f>
        <v>0</v>
      </c>
      <c r="C45" s="1">
        <f>C10*C11*12</f>
        <v>504000</v>
      </c>
      <c r="D45" s="1">
        <f>D10*D11*12</f>
        <v>1080000</v>
      </c>
      <c r="E45" s="1">
        <f>E10*E11*12</f>
        <v>1728000</v>
      </c>
      <c r="F45" s="1">
        <f>F10*F11*12</f>
        <v>2496000</v>
      </c>
    </row>
    <row r="46">
      <c r="A46" t="inlineStr">
        <is>
          <t xml:space="preserve">Developer salaries (yr)</t>
        </is>
      </c>
      <c r="B46" s="1">
        <f>B12*B13*12</f>
        <v>0</v>
      </c>
      <c r="C46" s="1">
        <f>C12*C13*12</f>
        <v>0</v>
      </c>
      <c r="D46" s="1">
        <f>D12*D13*12</f>
        <v>1020000</v>
      </c>
      <c r="E46" s="1">
        <f>E12*E13*12</f>
        <v>1080000</v>
      </c>
      <c r="F46" s="1">
        <f>F12*F13*12</f>
        <v>2280000</v>
      </c>
    </row>
    <row r="47">
      <c r="A47" t="inlineStr">
        <is>
          <t xml:space="preserve">Ops salaries (yr)</t>
        </is>
      </c>
      <c r="B47" s="1">
        <f>B14*B15*12</f>
        <v>0</v>
      </c>
      <c r="C47" s="1">
        <f>C14*C15*12</f>
        <v>0</v>
      </c>
      <c r="D47" s="1">
        <f>D14*D15*12</f>
        <v>0</v>
      </c>
      <c r="E47" s="1">
        <f>E14*E15*12</f>
        <v>0</v>
      </c>
      <c r="F47" s="1">
        <f>F14*F15*12</f>
        <v>1080000</v>
      </c>
    </row>
    <row r="48">
      <c r="A48" t="inlineStr">
        <is>
          <t xml:space="preserve">Total salaries</t>
        </is>
      </c>
      <c r="B48" s="1">
        <f>SUM(B43:B47)</f>
        <v>1560000</v>
      </c>
      <c r="C48" s="1">
        <f>SUM(C43:C47)</f>
        <v>2976000</v>
      </c>
      <c r="D48" s="1">
        <f>SUM(D43:D47)</f>
        <v>5772000</v>
      </c>
      <c r="E48" s="1">
        <f>SUM(E43:E47)</f>
        <v>7896000</v>
      </c>
      <c r="F48" s="1">
        <f>SUM(F43:F47)</f>
        <v>12456000</v>
      </c>
    </row>
    <row r="49">
      <c r="A49" t="inlineStr">
        <is>
          <t xml:space="preserve">Sales &amp; marketing</t>
        </is>
      </c>
      <c r="B49" s="1">
        <f>B25</f>
        <v>400000</v>
      </c>
      <c r="C49" s="1">
        <f>C25</f>
        <v>800000</v>
      </c>
      <c r="D49" s="1">
        <f>D25</f>
        <v>1400000</v>
      </c>
      <c r="E49" s="1">
        <f>E25</f>
        <v>2200000</v>
      </c>
      <c r="F49" s="1">
        <f>F25</f>
        <v>3000000</v>
      </c>
    </row>
    <row r="50">
      <c r="A50" t="inlineStr">
        <is>
          <t xml:space="preserve">TOTAL OPERATING COST</t>
        </is>
      </c>
      <c r="B50" s="1">
        <f>B42+B48+B49</f>
        <v>2426240</v>
      </c>
      <c r="C50" s="1">
        <f>C42+C48+C49</f>
        <v>4920240</v>
      </c>
      <c r="D50" s="1">
        <f>D42+D48+D49</f>
        <v>10226500</v>
      </c>
      <c r="E50" s="1">
        <f>E42+E48+E49</f>
        <v>15522700</v>
      </c>
      <c r="F50" s="1">
        <f>F42+F48+F49</f>
        <v>23476240</v>
      </c>
    </row>
    <row r="51">
      <c r="A51" t="inlineStr">
        <is>
          <t xml:space="preserve">  (monthly average)</t>
        </is>
      </c>
      <c r="B51" s="1">
        <f>B50/12</f>
        <v>202186.66666666666</v>
      </c>
      <c r="C51" s="1">
        <f>C50/12</f>
        <v>410020</v>
      </c>
      <c r="D51" s="1">
        <f>D50/12</f>
        <v>852208.3333333334</v>
      </c>
      <c r="E51" s="1">
        <f>E50/12</f>
        <v>1293558.3333333333</v>
      </c>
      <c r="F51" s="1">
        <f>F50/12</f>
        <v>1956353.3333333333</v>
      </c>
    </row>
    <row r="53">
      <c r="A53" s="3" t="inlineStr">
        <is>
          <t xml:space="preserve">PROFIT &amp; LOSS</t>
        </is>
      </c>
    </row>
    <row r="54">
      <c r="A54" t="inlineStr">
        <is>
          <t xml:space="preserve">Recognized revenue</t>
        </is>
      </c>
      <c r="B54" s="1">
        <f>B31</f>
        <v>3312000</v>
      </c>
      <c r="C54" s="1">
        <f>C31</f>
        <v>15312000</v>
      </c>
      <c r="D54" s="1">
        <f>D31</f>
        <v>38775000</v>
      </c>
      <c r="E54" s="1">
        <f>E31</f>
        <v>72555000</v>
      </c>
      <c r="F54" s="1">
        <f>F31</f>
        <v>112452000</v>
      </c>
    </row>
    <row r="55">
      <c r="A55" t="inlineStr">
        <is>
          <t xml:space="preserve">Total cost</t>
        </is>
      </c>
      <c r="B55" s="1">
        <f>B50</f>
        <v>2426240</v>
      </c>
      <c r="C55" s="1">
        <f>C50</f>
        <v>4920240</v>
      </c>
      <c r="D55" s="1">
        <f>D50</f>
        <v>10226500</v>
      </c>
      <c r="E55" s="1">
        <f>E50</f>
        <v>15522700</v>
      </c>
      <c r="F55" s="1">
        <f>F50</f>
        <v>23476240</v>
      </c>
    </row>
    <row r="56">
      <c r="A56" t="inlineStr">
        <is>
          <t xml:space="preserve">Operating profit / (loss)</t>
        </is>
      </c>
      <c r="B56" s="1">
        <f>B54-B55</f>
        <v>885760</v>
      </c>
      <c r="C56" s="1">
        <f>C54-C55</f>
        <v>10391760</v>
      </c>
      <c r="D56" s="1">
        <f>D54-D55</f>
        <v>28548500</v>
      </c>
      <c r="E56" s="1">
        <f>E54-E55</f>
        <v>57032300</v>
      </c>
      <c r="F56" s="1">
        <f>F54-F55</f>
        <v>88975760</v>
      </c>
    </row>
    <row r="57">
      <c r="A57" t="inlineStr">
        <is>
          <t xml:space="preserve">Operating margin</t>
        </is>
      </c>
      <c r="B57" s="2">
        <f>B56/B54</f>
        <v>0.26743961352657003</v>
      </c>
      <c r="C57" s="2">
        <f>C56/C54</f>
        <v>0.6786677115987461</v>
      </c>
      <c r="D57" s="2">
        <f>D56/D54</f>
        <v>0.736260477111541</v>
      </c>
      <c r="E57" s="2">
        <f>E56/E54</f>
        <v>0.7860560953759217</v>
      </c>
      <c r="F57" s="2">
        <f>F56/F54</f>
        <v>0.7912332372923558</v>
      </c>
    </row>
    <row r="59">
      <c r="A59" s="3" t="inlineStr">
        <is>
          <t xml:space="preserve">VALUATION (VC method)</t>
        </is>
      </c>
    </row>
    <row r="60">
      <c r="A60" t="inlineStr">
        <is>
          <t xml:space="preserve">Exit ARR multiple</t>
        </is>
      </c>
      <c r="B60" s="1">
        <v>2</v>
      </c>
    </row>
    <row r="61">
      <c r="A61" t="inlineStr">
        <is>
          <t xml:space="preserve">Target IRR (discount)</t>
        </is>
      </c>
      <c r="B61" s="2">
        <v>0.65</v>
      </c>
    </row>
    <row r="62">
      <c r="A62" t="inlineStr">
        <is>
          <t xml:space="preserve">Year-5 ARR</t>
        </is>
      </c>
      <c r="B62" s="1">
        <f>F29</f>
        <v>133344000</v>
      </c>
    </row>
    <row r="63">
      <c r="A63" t="inlineStr">
        <is>
          <t xml:space="preserve">Terminal value (Year 5)</t>
        </is>
      </c>
      <c r="B63" s="1">
        <f>B62*B60</f>
        <v>266688000</v>
      </c>
    </row>
    <row r="64">
      <c r="A64" t="inlineStr">
        <is>
          <t xml:space="preserve">Pre-money today (VC method)</t>
        </is>
      </c>
      <c r="B64" s="1">
        <f>B63/((1+B61)^5)</f>
        <v>21806388.91246091</v>
      </c>
    </row>
    <row r="66">
      <c r="A66" s="3" t="inlineStr">
        <is>
          <t xml:space="preserve">CAP TABLE (edit pre-money &amp; raise)</t>
        </is>
      </c>
    </row>
    <row r="67">
      <c r="A67" t="inlineStr">
        <is>
          <t xml:space="preserve">Pre-money chosen (LKR)</t>
        </is>
      </c>
      <c r="B67" s="1">
        <v>16000000</v>
      </c>
    </row>
    <row r="68">
      <c r="A68" t="inlineStr">
        <is>
          <t xml:space="preserve">Raise (LKR)</t>
        </is>
      </c>
      <c r="B68" s="1">
        <v>4000000</v>
      </c>
    </row>
    <row r="69">
      <c r="A69" t="inlineStr">
        <is>
          <t xml:space="preserve">Founder shares</t>
        </is>
      </c>
      <c r="B69" s="1">
        <v>1000000</v>
      </c>
    </row>
    <row r="70">
      <c r="A70" t="inlineStr">
        <is>
          <t xml:space="preserve">Post-money</t>
        </is>
      </c>
      <c r="B70" s="1">
        <f>B67+B68</f>
        <v>20000000</v>
      </c>
    </row>
    <row r="71">
      <c r="A71" t="inlineStr">
        <is>
          <t xml:space="preserve">Share price (LKR)</t>
        </is>
      </c>
      <c r="B71" s="1">
        <f>B67/B69</f>
        <v>16</v>
      </c>
    </row>
    <row r="72">
      <c r="A72" t="inlineStr">
        <is>
          <t xml:space="preserve">New shares to investor</t>
        </is>
      </c>
      <c r="B72" s="1">
        <f>B68/B71</f>
        <v>250000</v>
      </c>
    </row>
    <row r="73">
      <c r="A73" t="inlineStr">
        <is>
          <t xml:space="preserve">Total shares</t>
        </is>
      </c>
      <c r="B73" s="1">
        <f>B69+B72</f>
        <v>1250000</v>
      </c>
    </row>
    <row r="74">
      <c r="A74" t="inlineStr">
        <is>
          <t xml:space="preserve">Investor ownership</t>
        </is>
      </c>
      <c r="B74" s="2">
        <f>B68/B70</f>
        <v>0.2</v>
      </c>
    </row>
    <row r="75">
      <c r="A75" t="inlineStr">
        <is>
          <t xml:space="preserve">Founder ownership</t>
        </is>
      </c>
      <c r="B75" s="2">
        <f>B67/B70</f>
        <v>0.8</v>
      </c>
    </row>
    <row r="77">
      <c r="A77" s="3" t="inlineStr">
        <is>
          <t xml:space="preserve">READY-RECKONER (raise → investor %, at chosen pre-money B67)</t>
        </is>
      </c>
    </row>
    <row r="78">
      <c r="A78" t="inlineStr">
        <is>
          <t xml:space="preserve">Raise option (LKR)</t>
        </is>
      </c>
      <c r="B78" s="1">
        <v>2000000</v>
      </c>
      <c r="C78" s="1">
        <v>3000000</v>
      </c>
      <c r="D78" s="1">
        <v>4000000</v>
      </c>
      <c r="E78" s="1">
        <v>5000000</v>
      </c>
      <c r="F78" s="1">
        <v>6000000</v>
      </c>
    </row>
    <row r="79">
      <c r="A79" t="inlineStr">
        <is>
          <t xml:space="preserve">Investor %</t>
        </is>
      </c>
      <c r="B79" s="2">
        <f>B78/($B$67+B78)</f>
        <v>0.1111111111111111</v>
      </c>
      <c r="C79" s="2">
        <f>C78/($B$67+C78)</f>
        <v>0.15789473684210525</v>
      </c>
      <c r="D79" s="2">
        <f>D78/($B$67+D78)</f>
        <v>0.2</v>
      </c>
      <c r="E79" s="2">
        <f>E78/($B$67+E78)</f>
        <v>0.23809523809523808</v>
      </c>
      <c r="F79" s="2">
        <f>F78/($B$67+F78)</f>
        <v>0.2727272727272727</v>
      </c>
    </row>
    <row r="80">
      <c r="A80" t="inlineStr">
        <is>
          <t xml:space="preserve">Founder %</t>
        </is>
      </c>
      <c r="B80" s="2">
        <f>$B$67/($B$67+B78)</f>
        <v>0.8888888888888888</v>
      </c>
      <c r="C80" s="2">
        <f>$B$67/($B$67+C78)</f>
        <v>0.8421052631578947</v>
      </c>
      <c r="D80" s="2">
        <f>$B$67/($B$67+D78)</f>
        <v>0.8</v>
      </c>
      <c r="E80" s="2">
        <f>$B$67/($B$67+E78)</f>
        <v>0.7619047619047619</v>
      </c>
      <c r="F80" s="2">
        <f>$B$67/($B$67+F78)</f>
        <v>0.7272727272727273</v>
      </c>
    </row>
  </sheetData>
</worksheet>
</file>